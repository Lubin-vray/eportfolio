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390EC1E-F186-4E05-B0A0-88D778CE994A}" xr6:coauthVersionLast="47" xr6:coauthVersionMax="47" xr10:uidLastSave="{00000000-0000-0000-0000-000000000000}"/>
  <bookViews>
    <workbookView xWindow="-120" yWindow="-120" windowWidth="29040" windowHeight="15720" xr2:uid="{7C0BFEDC-65DA-4F37-8D60-84495C9143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14" i="1"/>
  <c r="F16" i="1"/>
  <c r="F13" i="1"/>
  <c r="F12" i="1"/>
  <c r="F4" i="1"/>
  <c r="F11" i="1"/>
  <c r="F10" i="1"/>
  <c r="F9" i="1"/>
  <c r="F8" i="1"/>
  <c r="F5" i="1"/>
  <c r="F6" i="1"/>
  <c r="F7" i="1"/>
  <c r="F3" i="1"/>
  <c r="F2" i="1"/>
  <c r="F18" i="1" l="1" a="1"/>
  <c r="F18" i="1" s="1"/>
  <c r="F17" i="1"/>
  <c r="F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<sst xmlns="http://schemas.openxmlformats.org/spreadsheetml/2006/main" count="38" uniqueCount="37">
  <si>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Déscription</t>
  </si>
  <si>
    <t>Référence</t>
  </si>
  <si>
    <t>Prix unitaire</t>
  </si>
  <si>
    <t>TVA</t>
  </si>
  <si>
    <t>Totale HT</t>
  </si>
  <si>
    <t>Baie de brassage</t>
  </si>
  <si>
    <t>Lot de noyaux pour répartiteurs</t>
  </si>
  <si>
    <t>Répartiteurs 24 ports</t>
  </si>
  <si>
    <t>Bloc Bureau vide</t>
  </si>
  <si>
    <t>Prises RJ45 double</t>
  </si>
  <si>
    <t>Prises RJ45 mozaique 2</t>
  </si>
  <si>
    <t>Prises RJ45 mozaique 1</t>
  </si>
  <si>
    <t>Cordon de brassage RJ45 Linkeo C catégorie 6A F/UTP (3 mètre)</t>
  </si>
  <si>
    <t>Câble pour réseaux locaux catégorie 6A U/FTP 4 paires torsadées</t>
  </si>
  <si>
    <t>Cordon de brassage RJ45 catégorie 6A S/FTP 0,5m</t>
  </si>
  <si>
    <t>Goulottes  3 compratiment à clipage direct de 2m</t>
  </si>
  <si>
    <t>Legrand 6 467 60</t>
  </si>
  <si>
    <t>Legrand 6 328 50</t>
  </si>
  <si>
    <t>Legrand 0 337 64</t>
  </si>
  <si>
    <t>Legrand 0 518 16</t>
  </si>
  <si>
    <t>Legrand 6 328 88</t>
  </si>
  <si>
    <t>Legrand 0 765 82</t>
  </si>
  <si>
    <t>Legrand 0 765 65</t>
  </si>
  <si>
    <t>Legrand 0 765 06</t>
  </si>
  <si>
    <t xml:space="preserve"> Legrand 0 327 78</t>
  </si>
  <si>
    <t>Legrand 0 756 06</t>
  </si>
  <si>
    <t>Chemin de câbles tôle perforée  haut.50mm, larg.200mm &amp; long.3m</t>
  </si>
  <si>
    <t>Legrand 4 812 01</t>
  </si>
  <si>
    <t>Legrand 053592</t>
  </si>
  <si>
    <t>Main d'œuvre</t>
  </si>
  <si>
    <t>Quantité</t>
  </si>
  <si>
    <t>Totale TTC</t>
  </si>
  <si>
    <t>Totale TVA</t>
  </si>
  <si>
    <t>Colliers colson</t>
  </si>
  <si>
    <t>Legrand 0 319 21</t>
  </si>
  <si>
    <t>Fixations murales</t>
  </si>
  <si>
    <t>Legrand 0 319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</si>
</sst>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3" x14ac:knownFonts="1">
    <font>
      <sz val="11"/>
      <color theme="1"/>
      <name val="Aptos Narrow"/>
      <family val="2"/>
      <scheme val="minor"/>
    </font>
    <font>
      <sz val="15"/>
      <color theme="0"/>
      <name val="Aptos Narrow"/>
      <family val="2"/>
      <scheme val="minor"/>
    </font>
    <font>
      <sz val="11"/>
      <color rgb="FF1F1F2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2" fontId="0" fillId="0" borderId="2" xfId="0" applyNumberFormat="1" applyBorder="1"/>
    <xf numFmtId="164" fontId="0" fillId="0" borderId="2" xfId="0" applyNumberFormat="1" applyBorder="1"/>
    <xf numFmtId="10" fontId="0" fillId="0" borderId="2" xfId="0" applyNumberFormat="1" applyBorder="1"/>
    <xf numFmtId="2" fontId="0" fillId="0" borderId="3" xfId="0" applyNumberFormat="1" applyBorder="1"/>
    <xf numFmtId="0" fontId="2" fillId="0" borderId="3" xfId="0" applyFont="1" applyBorder="1"/>
    <xf numFmtId="10" fontId="0" fillId="0" borderId="3" xfId="0" applyNumberFormat="1" applyBorder="1"/>
    <xf numFmtId="164" fontId="0" fillId="0" borderId="3" xfId="0" applyNumberFormat="1" applyBorder="1"/>
    <xf numFmtId="2" fontId="0" fillId="0" borderId="4" xfId="0" applyNumberFormat="1" applyBorder="1"/>
    <xf numFmtId="164" fontId="0" fillId="0" borderId="4" xfId="0" applyNumberFormat="1" applyBorder="1"/>
    <xf numFmtId="1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E0A5-5B1C-419C-A054-E0E100727811}">
  <dimension ref="A1:F38"/>
  <sheetViews>
    <sheetView tabSelected="1" topLeftCell="A5" workbookViewId="0">
      <selection activeCell="H15" sqref="H15"/>
    </sheetView>
  </sheetViews>
  <sheetFormatPr baseColWidth="10" defaultRowHeight="15" x14ac:dyDescent="0.25"/>
  <cols>
    <col min="1" max="1" width="49.85546875" customWidth="1"/>
    <col min="2" max="2" width="24.85546875" customWidth="1"/>
    <col min="3" max="3" width="17.5703125" style="2" customWidth="1"/>
    <col min="4" max="4" width="17.5703125" style="1" customWidth="1"/>
    <col min="5" max="5" width="17.5703125" style="3" customWidth="1"/>
    <col min="6" max="13" width="17.5703125" customWidth="1"/>
  </cols>
  <sheetData>
    <row r="1" spans="1:6" ht="20.25" customHeight="1" thickBot="1" x14ac:dyDescent="0.3">
      <c r="A1" s="4" t="s">
        <v>0</v>
      </c>
      <c r="B1" s="4" t="s">
        <v>1</v>
      </c>
      <c r="C1" s="5" t="s">
        <v>30</v>
      </c>
      <c r="D1" s="6" t="s">
        <v>2</v>
      </c>
      <c r="E1" s="7" t="s">
        <v>3</v>
      </c>
      <c r="F1" s="4" t="s">
        <v>4</v>
      </c>
    </row>
    <row r="2" spans="1:6" ht="33.75" customHeight="1" x14ac:dyDescent="0.25">
      <c r="A2" s="8" t="s">
        <v>5</v>
      </c>
      <c r="B2" s="9" t="s">
        <v>16</v>
      </c>
      <c r="C2" s="14">
        <v>2</v>
      </c>
      <c r="D2" s="15">
        <v>1121</v>
      </c>
      <c r="E2" s="16">
        <v>0.2</v>
      </c>
      <c r="F2" s="14">
        <f>PRODUCT(C2,D2)</f>
        <v>2242</v>
      </c>
    </row>
    <row r="3" spans="1:6" ht="33.75" customHeight="1" x14ac:dyDescent="0.25">
      <c r="A3" s="10" t="s">
        <v>7</v>
      </c>
      <c r="B3" s="11" t="s">
        <v>17</v>
      </c>
      <c r="C3" s="17">
        <v>7</v>
      </c>
      <c r="D3" s="18">
        <v>106.1</v>
      </c>
      <c r="E3" s="19">
        <v>0.2</v>
      </c>
      <c r="F3" s="17">
        <f>PRODUCT(C3,D3)</f>
        <v>742.69999999999993</v>
      </c>
    </row>
    <row r="4" spans="1:6" ht="33.75" customHeight="1" x14ac:dyDescent="0.25">
      <c r="A4" s="10" t="s">
        <v>6</v>
      </c>
      <c r="B4" s="11" t="s">
        <v>18</v>
      </c>
      <c r="C4" s="17">
        <v>28</v>
      </c>
      <c r="D4" s="20">
        <v>62.42</v>
      </c>
      <c r="E4" s="19">
        <v>0.2</v>
      </c>
      <c r="F4" s="17">
        <f>PRODUCT(C4,D4)</f>
        <v>1747.76</v>
      </c>
    </row>
    <row r="5" spans="1:6" ht="33.75" customHeight="1" x14ac:dyDescent="0.25">
      <c r="A5" s="10" t="s">
        <v>15</v>
      </c>
      <c r="B5" s="11" t="s">
        <v>25</v>
      </c>
      <c r="C5" s="17">
        <v>6</v>
      </c>
      <c r="D5" s="20">
        <v>136.19999999999999</v>
      </c>
      <c r="E5" s="19">
        <v>0.2</v>
      </c>
      <c r="F5" s="17">
        <f t="shared" ref="F5:F16" si="0">PRODUCT(C5,D5)</f>
        <v>817.19999999999993</v>
      </c>
    </row>
    <row r="6" spans="1:6" ht="33.75" customHeight="1" x14ac:dyDescent="0.25">
      <c r="A6" s="10" t="s">
        <v>13</v>
      </c>
      <c r="B6" s="11" t="s">
        <v>24</v>
      </c>
      <c r="C6" s="17">
        <v>1600</v>
      </c>
      <c r="D6" s="20">
        <v>2.4700000000000002</v>
      </c>
      <c r="E6" s="19">
        <v>0.2</v>
      </c>
      <c r="F6" s="17">
        <f t="shared" si="0"/>
        <v>3952.0000000000005</v>
      </c>
    </row>
    <row r="7" spans="1:6" ht="33.75" customHeight="1" x14ac:dyDescent="0.25">
      <c r="A7" s="10" t="s">
        <v>8</v>
      </c>
      <c r="B7" s="11" t="s">
        <v>28</v>
      </c>
      <c r="C7" s="17">
        <v>8</v>
      </c>
      <c r="D7" s="20">
        <v>68.25</v>
      </c>
      <c r="E7" s="19">
        <v>0.2</v>
      </c>
      <c r="F7" s="17">
        <f t="shared" si="0"/>
        <v>546</v>
      </c>
    </row>
    <row r="8" spans="1:6" ht="33.75" customHeight="1" x14ac:dyDescent="0.25">
      <c r="A8" s="10" t="s">
        <v>9</v>
      </c>
      <c r="B8" s="11" t="s">
        <v>23</v>
      </c>
      <c r="C8" s="17">
        <v>16</v>
      </c>
      <c r="D8" s="20">
        <v>45.16</v>
      </c>
      <c r="E8" s="19">
        <v>0.2</v>
      </c>
      <c r="F8" s="17">
        <f t="shared" si="0"/>
        <v>722.56</v>
      </c>
    </row>
    <row r="9" spans="1:6" ht="33.75" customHeight="1" x14ac:dyDescent="0.25">
      <c r="A9" s="10" t="s">
        <v>10</v>
      </c>
      <c r="B9" s="11" t="s">
        <v>22</v>
      </c>
      <c r="C9" s="17">
        <v>16</v>
      </c>
      <c r="D9" s="20">
        <v>24.94</v>
      </c>
      <c r="E9" s="19">
        <v>0.2</v>
      </c>
      <c r="F9" s="17">
        <f t="shared" si="0"/>
        <v>399.04</v>
      </c>
    </row>
    <row r="10" spans="1:6" ht="33.75" customHeight="1" x14ac:dyDescent="0.25">
      <c r="A10" s="10" t="s">
        <v>11</v>
      </c>
      <c r="B10" s="11" t="s">
        <v>21</v>
      </c>
      <c r="C10" s="17">
        <v>32</v>
      </c>
      <c r="D10" s="20">
        <v>25.93</v>
      </c>
      <c r="E10" s="19">
        <v>0.2</v>
      </c>
      <c r="F10" s="17">
        <f t="shared" si="0"/>
        <v>829.76</v>
      </c>
    </row>
    <row r="11" spans="1:6" ht="33.75" customHeight="1" x14ac:dyDescent="0.25">
      <c r="A11" s="10" t="s">
        <v>12</v>
      </c>
      <c r="B11" s="11" t="s">
        <v>20</v>
      </c>
      <c r="C11" s="17">
        <v>16</v>
      </c>
      <c r="D11" s="20">
        <v>26.62</v>
      </c>
      <c r="E11" s="19">
        <v>0.2</v>
      </c>
      <c r="F11" s="17">
        <f t="shared" si="0"/>
        <v>425.92</v>
      </c>
    </row>
    <row r="12" spans="1:6" ht="33.75" customHeight="1" x14ac:dyDescent="0.25">
      <c r="A12" s="10" t="s">
        <v>14</v>
      </c>
      <c r="B12" s="11" t="s">
        <v>19</v>
      </c>
      <c r="C12" s="17">
        <v>32</v>
      </c>
      <c r="D12" s="20">
        <v>11.13</v>
      </c>
      <c r="E12" s="19">
        <v>0.2</v>
      </c>
      <c r="F12" s="17">
        <f t="shared" si="0"/>
        <v>356.16</v>
      </c>
    </row>
    <row r="13" spans="1:6" ht="33.75" customHeight="1" x14ac:dyDescent="0.25">
      <c r="A13" s="10" t="s">
        <v>26</v>
      </c>
      <c r="B13" s="11" t="s">
        <v>27</v>
      </c>
      <c r="C13" s="17">
        <v>3</v>
      </c>
      <c r="D13" s="20">
        <v>56.46</v>
      </c>
      <c r="E13" s="19">
        <v>0.2</v>
      </c>
      <c r="F13" s="17">
        <f t="shared" si="0"/>
        <v>169.38</v>
      </c>
    </row>
    <row r="14" spans="1:6" ht="33.75" customHeight="1" x14ac:dyDescent="0.25">
      <c r="A14" s="10" t="s">
        <v>33</v>
      </c>
      <c r="B14" s="11" t="s">
        <v>34</v>
      </c>
      <c r="C14" s="17">
        <v>6</v>
      </c>
      <c r="D14" s="20">
        <v>2.0699999999999998</v>
      </c>
      <c r="E14" s="19">
        <v>0.2</v>
      </c>
      <c r="F14" s="17">
        <f t="shared" si="0"/>
        <v>12.419999999999998</v>
      </c>
    </row>
    <row r="15" spans="1:6" ht="33.75" customHeight="1" x14ac:dyDescent="0.25">
      <c r="A15" s="10" t="s">
        <v>35</v>
      </c>
      <c r="B15" s="11" t="s">
        <v>36</v>
      </c>
      <c r="C15" s="17">
        <v>6</v>
      </c>
      <c r="D15" s="20">
        <v>0.49</v>
      </c>
      <c r="E15" s="19">
        <v>0.2</v>
      </c>
      <c r="F15" s="17">
        <f t="shared" si="0"/>
        <v>2.94</v>
      </c>
    </row>
    <row r="16" spans="1:6" ht="33.75" customHeight="1" thickBot="1" x14ac:dyDescent="0.3">
      <c r="A16" s="12" t="s">
        <v>29</v>
      </c>
      <c r="B16" s="13"/>
      <c r="C16" s="21">
        <v>70</v>
      </c>
      <c r="D16" s="22">
        <v>50</v>
      </c>
      <c r="E16" s="23">
        <v>0.2</v>
      </c>
      <c r="F16" s="21">
        <f t="shared" si="0"/>
        <v>3500</v>
      </c>
    </row>
    <row r="17" spans="5:6" ht="36" customHeight="1" x14ac:dyDescent="0.25">
      <c r="E17" s="16" t="s">
        <v>4</v>
      </c>
      <c r="F17" s="14">
        <f>SUM(F2:F16)</f>
        <v>16465.84</v>
      </c>
    </row>
    <row r="18" spans="5:6" ht="36.75" customHeight="1" x14ac:dyDescent="0.25">
      <c r="E18" s="19" t="s">
        <v>32</v>
      </c>
      <c r="F18" s="11" cm="1">
        <f t="array" ref="F18">SUM(F2:F16*E2:E16)</f>
        <v>3293.1680000000006</v>
      </c>
    </row>
    <row r="19" spans="5:6" ht="28.5" customHeight="1" thickBot="1" x14ac:dyDescent="0.3">
      <c r="E19" s="23" t="s">
        <v>31</v>
      </c>
      <c r="F19" s="21">
        <f>F17+F18</f>
        <v>19759.008000000002</v>
      </c>
    </row>
    <row r="20" spans="5:6" ht="20.25" customHeight="1" x14ac:dyDescent="0.25"/>
    <row r="21" spans="5:6" ht="20.25" customHeight="1" x14ac:dyDescent="0.25"/>
    <row r="22" spans="5:6" ht="20.25" customHeight="1" x14ac:dyDescent="0.25"/>
    <row r="23" spans="5:6" ht="20.25" customHeight="1" x14ac:dyDescent="0.25"/>
    <row r="24" spans="5:6" ht="20.25" customHeight="1" x14ac:dyDescent="0.25"/>
    <row r="25" spans="5:6" ht="20.25" customHeight="1" x14ac:dyDescent="0.25"/>
    <row r="26" spans="5:6" ht="20.25" customHeight="1" x14ac:dyDescent="0.25"/>
    <row r="27" spans="5:6" ht="20.25" customHeight="1" x14ac:dyDescent="0.25"/>
    <row r="28" spans="5:6" ht="20.25" customHeight="1" x14ac:dyDescent="0.25"/>
    <row r="29" spans="5:6" ht="20.25" customHeight="1" x14ac:dyDescent="0.25"/>
    <row r="30" spans="5:6" ht="20.25" customHeight="1" x14ac:dyDescent="0.25"/>
    <row r="31" spans="5:6" ht="20.25" customHeight="1" x14ac:dyDescent="0.25"/>
    <row r="32" spans="5:6" ht="20.25" customHeight="1" x14ac:dyDescent="0.25"/>
    <row r="33" ht="20.25" customHeight="1" x14ac:dyDescent="0.25"/>
    <row r="34" ht="20.25" customHeight="1" x14ac:dyDescent="0.25"/>
    <row r="35" ht="20.25" customHeight="1" x14ac:dyDescent="0.25"/>
    <row r="36" ht="20.25" customHeight="1" x14ac:dyDescent="0.25"/>
    <row r="37" ht="20.25" customHeight="1" x14ac:dyDescent="0.25"/>
    <row r="38" ht="20.2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medchoukri95@gmail.com</cp:lastModifiedBy>
  <dcterms:created xsi:type="dcterms:W3CDTF">2025-10-20T14:29:17Z</dcterms:created>
  <dcterms:modified xsi:type="dcterms:W3CDTF">2025-11-10T09:26:49Z</dcterms:modified>
</cp:coreProperties>
</file>